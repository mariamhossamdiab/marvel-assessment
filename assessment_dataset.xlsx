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sers\ALNOUR-320\Downloads\task\"/>
    </mc:Choice>
  </mc:AlternateContent>
  <xr:revisionPtr revIDLastSave="0" documentId="13_ncr:1_{A64BD285-5499-44AF-ACE5-19CD56E39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sales" sheetId="1" r:id="rId1"/>
    <sheet name="regions" sheetId="2" r:id="rId2"/>
    <sheet name="products" sheetId="3" r:id="rId3"/>
  </sheets>
  <definedNames>
    <definedName name="_xlnm._FilterDatabase" localSheetId="0" hidden="1">raw_sales!$A$1:$G$30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O2" i="1"/>
  <c r="N2" i="1"/>
  <c r="M2" i="1"/>
  <c r="L2" i="1"/>
  <c r="K2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<sst xmlns="http://schemas.openxmlformats.org/spreadsheetml/2006/main" count="169" uniqueCount="69">
  <si>
    <t>Client</t>
  </si>
  <si>
    <t>Center</t>
  </si>
  <si>
    <t>Date</t>
  </si>
  <si>
    <t>Product Name</t>
  </si>
  <si>
    <t>Units</t>
  </si>
  <si>
    <t>Price</t>
  </si>
  <si>
    <t>صيدلية النور</t>
  </si>
  <si>
    <t>الفيوم</t>
  </si>
  <si>
    <t>اولي فيت 65</t>
  </si>
  <si>
    <t>صيدلية الشفاء</t>
  </si>
  <si>
    <t>بني سويف</t>
  </si>
  <si>
    <t>رانجير لاين 165</t>
  </si>
  <si>
    <t>مخزن الاتحاد</t>
  </si>
  <si>
    <t>ملوي</t>
  </si>
  <si>
    <t>مارفى لاز 90ملم</t>
  </si>
  <si>
    <t>صيدلية الزهراء</t>
  </si>
  <si>
    <t>مغاغة</t>
  </si>
  <si>
    <t>نيكساتيك 90</t>
  </si>
  <si>
    <t>Region_id</t>
  </si>
  <si>
    <t>Region</t>
  </si>
  <si>
    <t>Fayoum</t>
  </si>
  <si>
    <t>Beni Sweif</t>
  </si>
  <si>
    <t>Menia (South)</t>
  </si>
  <si>
    <t>Menia (North)</t>
  </si>
  <si>
    <t>product_id</t>
  </si>
  <si>
    <t>Product</t>
  </si>
  <si>
    <t>Line</t>
  </si>
  <si>
    <t>Line_id</t>
  </si>
  <si>
    <t>G4</t>
  </si>
  <si>
    <t>Oley Vit</t>
  </si>
  <si>
    <t>Green Line</t>
  </si>
  <si>
    <t>Gr</t>
  </si>
  <si>
    <t>R1</t>
  </si>
  <si>
    <t>Rangier Line</t>
  </si>
  <si>
    <t>Red Line</t>
  </si>
  <si>
    <t>Re</t>
  </si>
  <si>
    <t>G10</t>
  </si>
  <si>
    <t>Marvy Lase</t>
  </si>
  <si>
    <t>Blue Line</t>
  </si>
  <si>
    <t>Bl</t>
  </si>
  <si>
    <t>W6</t>
  </si>
  <si>
    <t>Nexatic Sachets</t>
  </si>
  <si>
    <t>White Line</t>
  </si>
  <si>
    <t>Wh</t>
  </si>
  <si>
    <t>هبةالله عاطف</t>
  </si>
  <si>
    <t>مخزن امجاد بني سويف</t>
  </si>
  <si>
    <t xml:space="preserve"> الشريف بني سويف</t>
  </si>
  <si>
    <t>مينا جورج</t>
  </si>
  <si>
    <t>احمد العجوز</t>
  </si>
  <si>
    <t>مخزن تراست/ تسلا</t>
  </si>
  <si>
    <t>مخزن هدى الاسلام</t>
  </si>
  <si>
    <t>احمد الخطيب</t>
  </si>
  <si>
    <t>Client_ID</t>
  </si>
  <si>
    <t>301333</t>
  </si>
  <si>
    <t>300795</t>
  </si>
  <si>
    <t>101356</t>
  </si>
  <si>
    <t>301111</t>
  </si>
  <si>
    <t>302462</t>
  </si>
  <si>
    <t>101317</t>
  </si>
  <si>
    <t>302463</t>
  </si>
  <si>
    <t>301222</t>
  </si>
  <si>
    <t>101278</t>
  </si>
  <si>
    <t>301444</t>
  </si>
  <si>
    <t>300588</t>
  </si>
  <si>
    <t>301630</t>
  </si>
  <si>
    <t>Value</t>
  </si>
  <si>
    <t>month_name</t>
  </si>
  <si>
    <t>day_number</t>
  </si>
  <si>
    <t>month_id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</si>
</sst>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A13" workbookViewId="0">
      <selection activeCell="A31" sqref="A31:XFD35"/>
    </sheetView>
  </sheetViews>
  <sheetFormatPr defaultRowHeight="14.4" x14ac:dyDescent="0.3"/>
  <cols>
    <col min="2" max="2" width="16.109375" bestFit="1" customWidth="1"/>
    <col min="4" max="4" width="10.5546875" style="2" bestFit="1" customWidth="1"/>
    <col min="5" max="5" width="14.88671875" bestFit="1" customWidth="1"/>
    <col min="6" max="7" width="8.88671875" style="1"/>
  </cols>
  <sheetData>
    <row r="1" spans="1:17" x14ac:dyDescent="0.3">
      <c r="A1" t="s">
        <v>52</v>
      </c>
      <c r="B1" t="s">
        <v>0</v>
      </c>
      <c r="C1" t="s">
        <v>1</v>
      </c>
      <c r="D1" s="2" t="s">
        <v>2</v>
      </c>
      <c r="E1" t="s">
        <v>3</v>
      </c>
      <c r="F1" s="1" t="s">
        <v>4</v>
      </c>
      <c r="G1" s="1" t="s">
        <v>5</v>
      </c>
      <c r="H1" t="s">
        <v>18</v>
      </c>
      <c r="I1" t="s">
        <v>19</v>
      </c>
      <c r="J1" t="s">
        <v>24</v>
      </c>
      <c r="K1" t="s">
        <v>25</v>
      </c>
      <c r="L1" t="s">
        <v>26</v>
      </c>
      <c r="M1" t="s">
        <v>27</v>
      </c>
      <c r="N1" s="1" t="s">
        <v>65</v>
      </c>
      <c r="O1" t="s">
        <v>66</v>
      </c>
      <c r="P1" t="s">
        <v>68</v>
      </c>
      <c r="Q1" t="s">
        <v>67</v>
      </c>
    </row>
    <row r="2" spans="1:17" x14ac:dyDescent="0.3">
      <c r="A2" t="s">
        <v>53</v>
      </c>
      <c r="B2" t="s">
        <v>12</v>
      </c>
      <c r="C2" t="s">
        <v>13</v>
      </c>
      <c r="D2" s="2">
        <v>45971</v>
      </c>
      <c r="E2" t="s">
        <v>14</v>
      </c>
      <c r="F2" s="1">
        <v>-15</v>
      </c>
      <c r="G2" s="1">
        <v>50</v>
      </c>
      <c r="H2">
        <f>VLOOKUP(C2,regions!$A$1:$C$5,2,0)</f>
        <v>5</v>
      </c>
      <c r="I2" t="str">
        <f>VLOOKUP(C2,regions!$A$1:$C$5,3,0)</f>
        <v>Menia (South)</v>
      </c>
      <c r="J2" t="str">
        <f>VLOOKUP(E2,products!$A$1:$E$5,2,0)</f>
        <v>G10</v>
      </c>
      <c r="K2" t="str">
        <f>VLOOKUP(E2,products!$A$1:$E$5,3,0)</f>
        <v>Marvy Lase</v>
      </c>
      <c r="L2" t="str">
        <f>VLOOKUP(E2,products!$A$1:$E$5,4,0)</f>
        <v>Blue Line</v>
      </c>
      <c r="M2" t="str">
        <f>VLOOKUP(E2,products!$A$1:$E$5,5,0)</f>
        <v>Bl</v>
      </c>
      <c r="N2">
        <f t="shared" ref="N2:N30" si="0">F2*G2</f>
        <v>-750</v>
      </c>
      <c r="O2" t="str">
        <f t="shared" ref="O2:O30" si="1">TEXT(D2,"mmm")</f>
        <v>نوفمبر</v>
      </c>
      <c r="P2">
        <f t="shared" ref="P2:P30" si="2">MONTH(D2)</f>
        <v>11</v>
      </c>
      <c r="Q2">
        <f t="shared" ref="Q2:Q30" si="3">DAY(D2)</f>
        <v>10</v>
      </c>
    </row>
    <row r="3" spans="1:17" x14ac:dyDescent="0.3">
      <c r="A3" t="s">
        <v>54</v>
      </c>
      <c r="B3" t="s">
        <v>45</v>
      </c>
      <c r="C3" t="s">
        <v>10</v>
      </c>
      <c r="D3" s="2">
        <v>45955</v>
      </c>
      <c r="E3" t="s">
        <v>14</v>
      </c>
      <c r="F3" s="1">
        <v>25</v>
      </c>
      <c r="G3" s="1">
        <v>50</v>
      </c>
      <c r="H3">
        <f>VLOOKUP(C3,regions!$A$1:$C$5,2,0)</f>
        <v>2</v>
      </c>
      <c r="I3" t="str">
        <f>VLOOKUP(C3,regions!$A$1:$C$5,3,0)</f>
        <v>Beni Sweif</v>
      </c>
      <c r="J3" t="str">
        <f>VLOOKUP(E3,products!$A$1:$E$5,2,0)</f>
        <v>G10</v>
      </c>
      <c r="K3" t="str">
        <f>VLOOKUP(E3,products!$A$1:$E$5,3,0)</f>
        <v>Marvy Lase</v>
      </c>
      <c r="L3" t="str">
        <f>VLOOKUP(E3,products!$A$1:$E$5,4,0)</f>
        <v>Blue Line</v>
      </c>
      <c r="M3" t="str">
        <f>VLOOKUP(E3,products!$A$1:$E$5,5,0)</f>
        <v>Bl</v>
      </c>
      <c r="N3">
        <f t="shared" si="0"/>
        <v>1250</v>
      </c>
      <c r="O3" t="str">
        <f t="shared" si="1"/>
        <v>أكتوبر</v>
      </c>
      <c r="P3">
        <f t="shared" si="2"/>
        <v>10</v>
      </c>
      <c r="Q3">
        <f t="shared" si="3"/>
        <v>25</v>
      </c>
    </row>
    <row r="4" spans="1:17" x14ac:dyDescent="0.3">
      <c r="A4" t="s">
        <v>53</v>
      </c>
      <c r="B4" t="s">
        <v>12</v>
      </c>
      <c r="C4" t="s">
        <v>13</v>
      </c>
      <c r="D4" s="2">
        <v>45973</v>
      </c>
      <c r="E4" t="s">
        <v>14</v>
      </c>
      <c r="F4" s="1">
        <v>0</v>
      </c>
      <c r="G4" s="1">
        <v>50</v>
      </c>
      <c r="H4">
        <f>VLOOKUP(C4,regions!$A$1:$C$5,2,0)</f>
        <v>5</v>
      </c>
      <c r="I4" t="str">
        <f>VLOOKUP(C4,regions!$A$1:$C$5,3,0)</f>
        <v>Menia (South)</v>
      </c>
      <c r="J4" t="str">
        <f>VLOOKUP(E4,products!$A$1:$E$5,2,0)</f>
        <v>G10</v>
      </c>
      <c r="K4" t="str">
        <f>VLOOKUP(E4,products!$A$1:$E$5,3,0)</f>
        <v>Marvy Lase</v>
      </c>
      <c r="L4" t="str">
        <f>VLOOKUP(E4,products!$A$1:$E$5,4,0)</f>
        <v>Blue Line</v>
      </c>
      <c r="M4" t="str">
        <f>VLOOKUP(E4,products!$A$1:$E$5,5,0)</f>
        <v>Bl</v>
      </c>
      <c r="N4">
        <f t="shared" si="0"/>
        <v>0</v>
      </c>
      <c r="O4" t="str">
        <f t="shared" si="1"/>
        <v>نوفمبر</v>
      </c>
      <c r="P4">
        <f t="shared" si="2"/>
        <v>11</v>
      </c>
      <c r="Q4">
        <f t="shared" si="3"/>
        <v>12</v>
      </c>
    </row>
    <row r="5" spans="1:17" x14ac:dyDescent="0.3">
      <c r="A5" t="s">
        <v>54</v>
      </c>
      <c r="B5" t="s">
        <v>45</v>
      </c>
      <c r="C5" t="s">
        <v>10</v>
      </c>
      <c r="D5" s="2">
        <v>45943</v>
      </c>
      <c r="E5" t="s">
        <v>14</v>
      </c>
      <c r="F5" s="1">
        <v>0</v>
      </c>
      <c r="G5" s="1">
        <v>50</v>
      </c>
      <c r="H5">
        <f>VLOOKUP(C5,regions!$A$1:$C$5,2,0)</f>
        <v>2</v>
      </c>
      <c r="I5" t="str">
        <f>VLOOKUP(C5,regions!$A$1:$C$5,3,0)</f>
        <v>Beni Sweif</v>
      </c>
      <c r="J5" t="str">
        <f>VLOOKUP(E5,products!$A$1:$E$5,2,0)</f>
        <v>G10</v>
      </c>
      <c r="K5" t="str">
        <f>VLOOKUP(E5,products!$A$1:$E$5,3,0)</f>
        <v>Marvy Lase</v>
      </c>
      <c r="L5" t="str">
        <f>VLOOKUP(E5,products!$A$1:$E$5,4,0)</f>
        <v>Blue Line</v>
      </c>
      <c r="M5" t="str">
        <f>VLOOKUP(E5,products!$A$1:$E$5,5,0)</f>
        <v>Bl</v>
      </c>
      <c r="N5">
        <f t="shared" si="0"/>
        <v>0</v>
      </c>
      <c r="O5" t="str">
        <f t="shared" si="1"/>
        <v>أكتوبر</v>
      </c>
      <c r="P5">
        <f t="shared" si="2"/>
        <v>10</v>
      </c>
      <c r="Q5">
        <f t="shared" si="3"/>
        <v>13</v>
      </c>
    </row>
    <row r="6" spans="1:17" x14ac:dyDescent="0.3">
      <c r="A6" t="s">
        <v>55</v>
      </c>
      <c r="B6" t="s">
        <v>49</v>
      </c>
      <c r="C6" t="s">
        <v>13</v>
      </c>
      <c r="D6" s="2">
        <v>45966</v>
      </c>
      <c r="E6" t="s">
        <v>14</v>
      </c>
      <c r="F6" s="1">
        <v>-15</v>
      </c>
      <c r="G6" s="1">
        <v>50</v>
      </c>
      <c r="H6">
        <f>VLOOKUP(C6,regions!$A$1:$C$5,2,0)</f>
        <v>5</v>
      </c>
      <c r="I6" t="str">
        <f>VLOOKUP(C6,regions!$A$1:$C$5,3,0)</f>
        <v>Menia (South)</v>
      </c>
      <c r="J6" t="str">
        <f>VLOOKUP(E6,products!$A$1:$E$5,2,0)</f>
        <v>G10</v>
      </c>
      <c r="K6" t="str">
        <f>VLOOKUP(E6,products!$A$1:$E$5,3,0)</f>
        <v>Marvy Lase</v>
      </c>
      <c r="L6" t="str">
        <f>VLOOKUP(E6,products!$A$1:$E$5,4,0)</f>
        <v>Blue Line</v>
      </c>
      <c r="M6" t="str">
        <f>VLOOKUP(E6,products!$A$1:$E$5,5,0)</f>
        <v>Bl</v>
      </c>
      <c r="N6">
        <f t="shared" si="0"/>
        <v>-750</v>
      </c>
      <c r="O6" t="str">
        <f t="shared" si="1"/>
        <v>نوفمبر</v>
      </c>
      <c r="P6">
        <f t="shared" si="2"/>
        <v>11</v>
      </c>
      <c r="Q6">
        <f t="shared" si="3"/>
        <v>5</v>
      </c>
    </row>
    <row r="7" spans="1:17" x14ac:dyDescent="0.3">
      <c r="A7" t="s">
        <v>54</v>
      </c>
      <c r="B7" t="s">
        <v>45</v>
      </c>
      <c r="C7" t="s">
        <v>10</v>
      </c>
      <c r="D7" s="2">
        <v>45944</v>
      </c>
      <c r="E7" t="s">
        <v>14</v>
      </c>
      <c r="F7" s="1">
        <v>25</v>
      </c>
      <c r="G7" s="1">
        <v>50</v>
      </c>
      <c r="H7">
        <f>VLOOKUP(C7,regions!$A$1:$C$5,2,0)</f>
        <v>2</v>
      </c>
      <c r="I7" t="str">
        <f>VLOOKUP(C7,regions!$A$1:$C$5,3,0)</f>
        <v>Beni Sweif</v>
      </c>
      <c r="J7" t="str">
        <f>VLOOKUP(E7,products!$A$1:$E$5,2,0)</f>
        <v>G10</v>
      </c>
      <c r="K7" t="str">
        <f>VLOOKUP(E7,products!$A$1:$E$5,3,0)</f>
        <v>Marvy Lase</v>
      </c>
      <c r="L7" t="str">
        <f>VLOOKUP(E7,products!$A$1:$E$5,4,0)</f>
        <v>Blue Line</v>
      </c>
      <c r="M7" t="str">
        <f>VLOOKUP(E7,products!$A$1:$E$5,5,0)</f>
        <v>Bl</v>
      </c>
      <c r="N7">
        <f t="shared" si="0"/>
        <v>1250</v>
      </c>
      <c r="O7" t="str">
        <f t="shared" si="1"/>
        <v>أكتوبر</v>
      </c>
      <c r="P7">
        <f t="shared" si="2"/>
        <v>10</v>
      </c>
      <c r="Q7">
        <f t="shared" si="3"/>
        <v>14</v>
      </c>
    </row>
    <row r="8" spans="1:17" x14ac:dyDescent="0.3">
      <c r="A8" t="s">
        <v>53</v>
      </c>
      <c r="B8" t="s">
        <v>12</v>
      </c>
      <c r="C8" t="s">
        <v>13</v>
      </c>
      <c r="D8" s="2">
        <v>45971</v>
      </c>
      <c r="E8" t="s">
        <v>14</v>
      </c>
      <c r="F8" s="1">
        <v>0</v>
      </c>
      <c r="G8" s="1">
        <v>50</v>
      </c>
      <c r="H8">
        <f>VLOOKUP(C8,regions!$A$1:$C$5,2,0)</f>
        <v>5</v>
      </c>
      <c r="I8" t="str">
        <f>VLOOKUP(C8,regions!$A$1:$C$5,3,0)</f>
        <v>Menia (South)</v>
      </c>
      <c r="J8" t="str">
        <f>VLOOKUP(E8,products!$A$1:$E$5,2,0)</f>
        <v>G10</v>
      </c>
      <c r="K8" t="str">
        <f>VLOOKUP(E8,products!$A$1:$E$5,3,0)</f>
        <v>Marvy Lase</v>
      </c>
      <c r="L8" t="str">
        <f>VLOOKUP(E8,products!$A$1:$E$5,4,0)</f>
        <v>Blue Line</v>
      </c>
      <c r="M8" t="str">
        <f>VLOOKUP(E8,products!$A$1:$E$5,5,0)</f>
        <v>Bl</v>
      </c>
      <c r="N8">
        <f t="shared" si="0"/>
        <v>0</v>
      </c>
      <c r="O8" t="str">
        <f t="shared" si="1"/>
        <v>نوفمبر</v>
      </c>
      <c r="P8">
        <f t="shared" si="2"/>
        <v>11</v>
      </c>
      <c r="Q8">
        <f t="shared" si="3"/>
        <v>10</v>
      </c>
    </row>
    <row r="9" spans="1:17" x14ac:dyDescent="0.3">
      <c r="A9" t="s">
        <v>54</v>
      </c>
      <c r="B9" t="s">
        <v>45</v>
      </c>
      <c r="C9" t="s">
        <v>10</v>
      </c>
      <c r="D9" s="2">
        <v>45953</v>
      </c>
      <c r="E9" t="s">
        <v>14</v>
      </c>
      <c r="F9" s="1">
        <v>34</v>
      </c>
      <c r="G9" s="1">
        <v>50</v>
      </c>
      <c r="H9">
        <f>VLOOKUP(C9,regions!$A$1:$C$5,2,0)</f>
        <v>2</v>
      </c>
      <c r="I9" t="str">
        <f>VLOOKUP(C9,regions!$A$1:$C$5,3,0)</f>
        <v>Beni Sweif</v>
      </c>
      <c r="J9" t="str">
        <f>VLOOKUP(E9,products!$A$1:$E$5,2,0)</f>
        <v>G10</v>
      </c>
      <c r="K9" t="str">
        <f>VLOOKUP(E9,products!$A$1:$E$5,3,0)</f>
        <v>Marvy Lase</v>
      </c>
      <c r="L9" t="str">
        <f>VLOOKUP(E9,products!$A$1:$E$5,4,0)</f>
        <v>Blue Line</v>
      </c>
      <c r="M9" t="str">
        <f>VLOOKUP(E9,products!$A$1:$E$5,5,0)</f>
        <v>Bl</v>
      </c>
      <c r="N9">
        <f t="shared" si="0"/>
        <v>1700</v>
      </c>
      <c r="O9" t="str">
        <f t="shared" si="1"/>
        <v>أكتوبر</v>
      </c>
      <c r="P9">
        <f t="shared" si="2"/>
        <v>10</v>
      </c>
      <c r="Q9">
        <f t="shared" si="3"/>
        <v>23</v>
      </c>
    </row>
    <row r="10" spans="1:17" x14ac:dyDescent="0.3">
      <c r="A10" t="s">
        <v>56</v>
      </c>
      <c r="B10" t="s">
        <v>6</v>
      </c>
      <c r="C10" t="s">
        <v>7</v>
      </c>
      <c r="D10" s="2">
        <v>45966</v>
      </c>
      <c r="E10" t="s">
        <v>8</v>
      </c>
      <c r="F10" s="1">
        <v>-30</v>
      </c>
      <c r="G10" s="1">
        <v>65</v>
      </c>
      <c r="H10">
        <f>VLOOKUP(C10,regions!$A$1:$C$5,2,0)</f>
        <v>1</v>
      </c>
      <c r="I10" t="str">
        <f>VLOOKUP(C10,regions!$A$1:$C$5,3,0)</f>
        <v>Fayoum</v>
      </c>
      <c r="J10" t="str">
        <f>VLOOKUP(E10,products!$A$1:$E$5,2,0)</f>
        <v>G4</v>
      </c>
      <c r="K10" t="str">
        <f>VLOOKUP(E10,products!$A$1:$E$5,3,0)</f>
        <v>Oley Vit</v>
      </c>
      <c r="L10" t="str">
        <f>VLOOKUP(E10,products!$A$1:$E$5,4,0)</f>
        <v>Green Line</v>
      </c>
      <c r="M10" t="str">
        <f>VLOOKUP(E10,products!$A$1:$E$5,5,0)</f>
        <v>Gr</v>
      </c>
      <c r="N10">
        <f t="shared" si="0"/>
        <v>-1950</v>
      </c>
      <c r="O10" t="str">
        <f t="shared" si="1"/>
        <v>نوفمبر</v>
      </c>
      <c r="P10">
        <f t="shared" si="2"/>
        <v>11</v>
      </c>
      <c r="Q10">
        <f t="shared" si="3"/>
        <v>5</v>
      </c>
    </row>
    <row r="11" spans="1:17" x14ac:dyDescent="0.3">
      <c r="A11" t="s">
        <v>57</v>
      </c>
      <c r="B11" t="s">
        <v>44</v>
      </c>
      <c r="C11" t="s">
        <v>10</v>
      </c>
      <c r="D11" s="2">
        <v>45962</v>
      </c>
      <c r="E11" t="s">
        <v>8</v>
      </c>
      <c r="F11" s="1">
        <v>100</v>
      </c>
      <c r="G11" s="1">
        <v>65</v>
      </c>
      <c r="H11">
        <f>VLOOKUP(C11,regions!$A$1:$C$5,2,0)</f>
        <v>2</v>
      </c>
      <c r="I11" t="str">
        <f>VLOOKUP(C11,regions!$A$1:$C$5,3,0)</f>
        <v>Beni Sweif</v>
      </c>
      <c r="J11" t="str">
        <f>VLOOKUP(E11,products!$A$1:$E$5,2,0)</f>
        <v>G4</v>
      </c>
      <c r="K11" t="str">
        <f>VLOOKUP(E11,products!$A$1:$E$5,3,0)</f>
        <v>Oley Vit</v>
      </c>
      <c r="L11" t="str">
        <f>VLOOKUP(E11,products!$A$1:$E$5,4,0)</f>
        <v>Green Line</v>
      </c>
      <c r="M11" t="str">
        <f>VLOOKUP(E11,products!$A$1:$E$5,5,0)</f>
        <v>Gr</v>
      </c>
      <c r="N11">
        <f t="shared" si="0"/>
        <v>6500</v>
      </c>
      <c r="O11" t="str">
        <f t="shared" si="1"/>
        <v>نوفمبر</v>
      </c>
      <c r="P11">
        <f t="shared" si="2"/>
        <v>11</v>
      </c>
      <c r="Q11">
        <f t="shared" si="3"/>
        <v>1</v>
      </c>
    </row>
    <row r="12" spans="1:17" x14ac:dyDescent="0.3">
      <c r="A12" t="s">
        <v>56</v>
      </c>
      <c r="B12" t="s">
        <v>6</v>
      </c>
      <c r="C12" t="s">
        <v>7</v>
      </c>
      <c r="D12" s="2">
        <v>45966</v>
      </c>
      <c r="E12" t="s">
        <v>8</v>
      </c>
      <c r="F12" s="1">
        <v>22</v>
      </c>
      <c r="G12" s="1">
        <v>65</v>
      </c>
      <c r="H12">
        <f>VLOOKUP(C12,regions!$A$1:$C$5,2,0)</f>
        <v>1</v>
      </c>
      <c r="I12" t="str">
        <f>VLOOKUP(C12,regions!$A$1:$C$5,3,0)</f>
        <v>Fayoum</v>
      </c>
      <c r="J12" t="str">
        <f>VLOOKUP(E12,products!$A$1:$E$5,2,0)</f>
        <v>G4</v>
      </c>
      <c r="K12" t="str">
        <f>VLOOKUP(E12,products!$A$1:$E$5,3,0)</f>
        <v>Oley Vit</v>
      </c>
      <c r="L12" t="str">
        <f>VLOOKUP(E12,products!$A$1:$E$5,4,0)</f>
        <v>Green Line</v>
      </c>
      <c r="M12" t="str">
        <f>VLOOKUP(E12,products!$A$1:$E$5,5,0)</f>
        <v>Gr</v>
      </c>
      <c r="N12">
        <f t="shared" si="0"/>
        <v>1430</v>
      </c>
      <c r="O12" t="str">
        <f t="shared" si="1"/>
        <v>نوفمبر</v>
      </c>
      <c r="P12">
        <f t="shared" si="2"/>
        <v>11</v>
      </c>
      <c r="Q12">
        <f t="shared" si="3"/>
        <v>5</v>
      </c>
    </row>
    <row r="13" spans="1:17" x14ac:dyDescent="0.3">
      <c r="A13" t="s">
        <v>57</v>
      </c>
      <c r="B13" t="s">
        <v>44</v>
      </c>
      <c r="C13" t="s">
        <v>10</v>
      </c>
      <c r="D13" s="2">
        <v>45962</v>
      </c>
      <c r="E13" t="s">
        <v>8</v>
      </c>
      <c r="F13" s="1">
        <v>12</v>
      </c>
      <c r="G13" s="1">
        <v>65</v>
      </c>
      <c r="H13">
        <f>VLOOKUP(C13,regions!$A$1:$C$5,2,0)</f>
        <v>2</v>
      </c>
      <c r="I13" t="str">
        <f>VLOOKUP(C13,regions!$A$1:$C$5,3,0)</f>
        <v>Beni Sweif</v>
      </c>
      <c r="J13" t="str">
        <f>VLOOKUP(E13,products!$A$1:$E$5,2,0)</f>
        <v>G4</v>
      </c>
      <c r="K13" t="str">
        <f>VLOOKUP(E13,products!$A$1:$E$5,3,0)</f>
        <v>Oley Vit</v>
      </c>
      <c r="L13" t="str">
        <f>VLOOKUP(E13,products!$A$1:$E$5,4,0)</f>
        <v>Green Line</v>
      </c>
      <c r="M13" t="str">
        <f>VLOOKUP(E13,products!$A$1:$E$5,5,0)</f>
        <v>Gr</v>
      </c>
      <c r="N13">
        <f t="shared" si="0"/>
        <v>780</v>
      </c>
      <c r="O13" t="str">
        <f t="shared" si="1"/>
        <v>نوفمبر</v>
      </c>
      <c r="P13">
        <f t="shared" si="2"/>
        <v>11</v>
      </c>
      <c r="Q13">
        <f t="shared" si="3"/>
        <v>1</v>
      </c>
    </row>
    <row r="14" spans="1:17" x14ac:dyDescent="0.3">
      <c r="A14" t="s">
        <v>58</v>
      </c>
      <c r="B14" t="s">
        <v>47</v>
      </c>
      <c r="C14" t="s">
        <v>13</v>
      </c>
      <c r="D14" s="2">
        <v>45966</v>
      </c>
      <c r="E14" t="s">
        <v>8</v>
      </c>
      <c r="F14" s="1">
        <v>-30</v>
      </c>
      <c r="G14" s="1">
        <v>65</v>
      </c>
      <c r="H14">
        <f>VLOOKUP(C14,regions!$A$1:$C$5,2,0)</f>
        <v>5</v>
      </c>
      <c r="I14" t="str">
        <f>VLOOKUP(C14,regions!$A$1:$C$5,3,0)</f>
        <v>Menia (South)</v>
      </c>
      <c r="J14" t="str">
        <f>VLOOKUP(E14,products!$A$1:$E$5,2,0)</f>
        <v>G4</v>
      </c>
      <c r="K14" t="str">
        <f>VLOOKUP(E14,products!$A$1:$E$5,3,0)</f>
        <v>Oley Vit</v>
      </c>
      <c r="L14" t="str">
        <f>VLOOKUP(E14,products!$A$1:$E$5,4,0)</f>
        <v>Green Line</v>
      </c>
      <c r="M14" t="str">
        <f>VLOOKUP(E14,products!$A$1:$E$5,5,0)</f>
        <v>Gr</v>
      </c>
      <c r="N14">
        <f t="shared" si="0"/>
        <v>-1950</v>
      </c>
      <c r="O14" t="str">
        <f t="shared" si="1"/>
        <v>نوفمبر</v>
      </c>
      <c r="P14">
        <f t="shared" si="2"/>
        <v>11</v>
      </c>
      <c r="Q14">
        <f t="shared" si="3"/>
        <v>5</v>
      </c>
    </row>
    <row r="15" spans="1:17" x14ac:dyDescent="0.3">
      <c r="A15" t="s">
        <v>57</v>
      </c>
      <c r="B15" t="s">
        <v>51</v>
      </c>
      <c r="C15" t="s">
        <v>13</v>
      </c>
      <c r="D15" s="2">
        <v>45962</v>
      </c>
      <c r="E15" t="s">
        <v>8</v>
      </c>
      <c r="F15" s="1">
        <v>100</v>
      </c>
      <c r="G15" s="1">
        <v>65</v>
      </c>
      <c r="H15">
        <f>VLOOKUP(C15,regions!$A$1:$C$5,2,0)</f>
        <v>5</v>
      </c>
      <c r="I15" t="str">
        <f>VLOOKUP(C15,regions!$A$1:$C$5,3,0)</f>
        <v>Menia (South)</v>
      </c>
      <c r="J15" t="str">
        <f>VLOOKUP(E15,products!$A$1:$E$5,2,0)</f>
        <v>G4</v>
      </c>
      <c r="K15" t="str">
        <f>VLOOKUP(E15,products!$A$1:$E$5,3,0)</f>
        <v>Oley Vit</v>
      </c>
      <c r="L15" t="str">
        <f>VLOOKUP(E15,products!$A$1:$E$5,4,0)</f>
        <v>Green Line</v>
      </c>
      <c r="M15" t="str">
        <f>VLOOKUP(E15,products!$A$1:$E$5,5,0)</f>
        <v>Gr</v>
      </c>
      <c r="N15">
        <f t="shared" si="0"/>
        <v>6500</v>
      </c>
      <c r="O15" t="str">
        <f t="shared" si="1"/>
        <v>نوفمبر</v>
      </c>
      <c r="P15">
        <f t="shared" si="2"/>
        <v>11</v>
      </c>
      <c r="Q15">
        <f t="shared" si="3"/>
        <v>1</v>
      </c>
    </row>
    <row r="16" spans="1:17" x14ac:dyDescent="0.3">
      <c r="A16" t="s">
        <v>59</v>
      </c>
      <c r="B16" t="s">
        <v>44</v>
      </c>
      <c r="C16" t="s">
        <v>16</v>
      </c>
      <c r="D16" s="2">
        <v>45962</v>
      </c>
      <c r="E16" t="s">
        <v>8</v>
      </c>
      <c r="F16" s="1">
        <v>66</v>
      </c>
      <c r="G16" s="1">
        <v>65</v>
      </c>
      <c r="H16">
        <f>VLOOKUP(C16,regions!$A$1:$C$5,2,0)</f>
        <v>6</v>
      </c>
      <c r="I16" t="str">
        <f>VLOOKUP(C16,regions!$A$1:$C$5,3,0)</f>
        <v>Menia (North)</v>
      </c>
      <c r="J16" t="str">
        <f>VLOOKUP(E16,products!$A$1:$E$5,2,0)</f>
        <v>G4</v>
      </c>
      <c r="K16" t="str">
        <f>VLOOKUP(E16,products!$A$1:$E$5,3,0)</f>
        <v>Oley Vit</v>
      </c>
      <c r="L16" t="str">
        <f>VLOOKUP(E16,products!$A$1:$E$5,4,0)</f>
        <v>Green Line</v>
      </c>
      <c r="M16" t="str">
        <f>VLOOKUP(E16,products!$A$1:$E$5,5,0)</f>
        <v>Gr</v>
      </c>
      <c r="N16">
        <f t="shared" si="0"/>
        <v>4290</v>
      </c>
      <c r="O16" t="str">
        <f t="shared" si="1"/>
        <v>نوفمبر</v>
      </c>
      <c r="P16">
        <f t="shared" si="2"/>
        <v>11</v>
      </c>
      <c r="Q16">
        <f t="shared" si="3"/>
        <v>1</v>
      </c>
    </row>
    <row r="17" spans="1:17" x14ac:dyDescent="0.3">
      <c r="A17" t="s">
        <v>60</v>
      </c>
      <c r="B17" t="s">
        <v>9</v>
      </c>
      <c r="C17" t="s">
        <v>10</v>
      </c>
      <c r="D17" s="2">
        <v>45967</v>
      </c>
      <c r="E17" t="s">
        <v>11</v>
      </c>
      <c r="F17" s="1">
        <v>-20</v>
      </c>
      <c r="G17" s="1">
        <v>165</v>
      </c>
      <c r="H17">
        <f>VLOOKUP(C17,regions!$A$1:$C$5,2,0)</f>
        <v>2</v>
      </c>
      <c r="I17" t="str">
        <f>VLOOKUP(C17,regions!$A$1:$C$5,3,0)</f>
        <v>Beni Sweif</v>
      </c>
      <c r="J17" t="str">
        <f>VLOOKUP(E17,products!$A$1:$E$5,2,0)</f>
        <v>R1</v>
      </c>
      <c r="K17" t="str">
        <f>VLOOKUP(E17,products!$A$1:$E$5,3,0)</f>
        <v>Rangier Line</v>
      </c>
      <c r="L17" t="str">
        <f>VLOOKUP(E17,products!$A$1:$E$5,4,0)</f>
        <v>Red Line</v>
      </c>
      <c r="M17" t="str">
        <f>VLOOKUP(E17,products!$A$1:$E$5,5,0)</f>
        <v>Re</v>
      </c>
      <c r="N17">
        <f t="shared" si="0"/>
        <v>-3300</v>
      </c>
      <c r="O17" t="str">
        <f t="shared" si="1"/>
        <v>نوفمبر</v>
      </c>
      <c r="P17">
        <f t="shared" si="2"/>
        <v>11</v>
      </c>
      <c r="Q17">
        <f t="shared" si="3"/>
        <v>6</v>
      </c>
    </row>
    <row r="18" spans="1:17" x14ac:dyDescent="0.3">
      <c r="A18" t="s">
        <v>54</v>
      </c>
      <c r="B18" t="s">
        <v>45</v>
      </c>
      <c r="C18" t="s">
        <v>10</v>
      </c>
      <c r="D18" s="2">
        <v>45953</v>
      </c>
      <c r="E18" t="s">
        <v>11</v>
      </c>
      <c r="F18" s="1">
        <v>400</v>
      </c>
      <c r="G18" s="1">
        <v>165</v>
      </c>
      <c r="H18">
        <f>VLOOKUP(C18,regions!$A$1:$C$5,2,0)</f>
        <v>2</v>
      </c>
      <c r="I18" t="str">
        <f>VLOOKUP(C18,regions!$A$1:$C$5,3,0)</f>
        <v>Beni Sweif</v>
      </c>
      <c r="J18" t="str">
        <f>VLOOKUP(E18,products!$A$1:$E$5,2,0)</f>
        <v>R1</v>
      </c>
      <c r="K18" t="str">
        <f>VLOOKUP(E18,products!$A$1:$E$5,3,0)</f>
        <v>Rangier Line</v>
      </c>
      <c r="L18" t="str">
        <f>VLOOKUP(E18,products!$A$1:$E$5,4,0)</f>
        <v>Red Line</v>
      </c>
      <c r="M18" t="str">
        <f>VLOOKUP(E18,products!$A$1:$E$5,5,0)</f>
        <v>Re</v>
      </c>
      <c r="N18">
        <f t="shared" si="0"/>
        <v>66000</v>
      </c>
      <c r="O18" t="str">
        <f t="shared" si="1"/>
        <v>أكتوبر</v>
      </c>
      <c r="P18">
        <f t="shared" si="2"/>
        <v>10</v>
      </c>
      <c r="Q18">
        <f t="shared" si="3"/>
        <v>23</v>
      </c>
    </row>
    <row r="19" spans="1:17" x14ac:dyDescent="0.3">
      <c r="A19" t="s">
        <v>60</v>
      </c>
      <c r="B19" t="s">
        <v>9</v>
      </c>
      <c r="C19" t="s">
        <v>10</v>
      </c>
      <c r="D19" s="2">
        <v>45968</v>
      </c>
      <c r="E19" t="s">
        <v>11</v>
      </c>
      <c r="F19" s="1">
        <v>13</v>
      </c>
      <c r="G19" s="1">
        <v>165</v>
      </c>
      <c r="H19">
        <f>VLOOKUP(C19,regions!$A$1:$C$5,2,0)</f>
        <v>2</v>
      </c>
      <c r="I19" t="str">
        <f>VLOOKUP(C19,regions!$A$1:$C$5,3,0)</f>
        <v>Beni Sweif</v>
      </c>
      <c r="J19" t="str">
        <f>VLOOKUP(E19,products!$A$1:$E$5,2,0)</f>
        <v>R1</v>
      </c>
      <c r="K19" t="str">
        <f>VLOOKUP(E19,products!$A$1:$E$5,3,0)</f>
        <v>Rangier Line</v>
      </c>
      <c r="L19" t="str">
        <f>VLOOKUP(E19,products!$A$1:$E$5,4,0)</f>
        <v>Red Line</v>
      </c>
      <c r="M19" t="str">
        <f>VLOOKUP(E19,products!$A$1:$E$5,5,0)</f>
        <v>Re</v>
      </c>
      <c r="N19">
        <f t="shared" si="0"/>
        <v>2145</v>
      </c>
      <c r="O19" t="str">
        <f t="shared" si="1"/>
        <v>نوفمبر</v>
      </c>
      <c r="P19">
        <f t="shared" si="2"/>
        <v>11</v>
      </c>
      <c r="Q19">
        <f t="shared" si="3"/>
        <v>7</v>
      </c>
    </row>
    <row r="20" spans="1:17" x14ac:dyDescent="0.3">
      <c r="A20" t="s">
        <v>54</v>
      </c>
      <c r="B20" t="s">
        <v>45</v>
      </c>
      <c r="C20" t="s">
        <v>10</v>
      </c>
      <c r="D20" s="2">
        <v>45953</v>
      </c>
      <c r="E20" t="s">
        <v>11</v>
      </c>
      <c r="F20" s="1">
        <v>0</v>
      </c>
      <c r="G20" s="1">
        <v>165</v>
      </c>
      <c r="H20">
        <f>VLOOKUP(C20,regions!$A$1:$C$5,2,0)</f>
        <v>2</v>
      </c>
      <c r="I20" t="str">
        <f>VLOOKUP(C20,regions!$A$1:$C$5,3,0)</f>
        <v>Beni Sweif</v>
      </c>
      <c r="J20" t="str">
        <f>VLOOKUP(E20,products!$A$1:$E$5,2,0)</f>
        <v>R1</v>
      </c>
      <c r="K20" t="str">
        <f>VLOOKUP(E20,products!$A$1:$E$5,3,0)</f>
        <v>Rangier Line</v>
      </c>
      <c r="L20" t="str">
        <f>VLOOKUP(E20,products!$A$1:$E$5,4,0)</f>
        <v>Red Line</v>
      </c>
      <c r="M20" t="str">
        <f>VLOOKUP(E20,products!$A$1:$E$5,5,0)</f>
        <v>Re</v>
      </c>
      <c r="N20">
        <f t="shared" si="0"/>
        <v>0</v>
      </c>
      <c r="O20" t="str">
        <f t="shared" si="1"/>
        <v>أكتوبر</v>
      </c>
      <c r="P20">
        <f t="shared" si="2"/>
        <v>10</v>
      </c>
      <c r="Q20">
        <f t="shared" si="3"/>
        <v>23</v>
      </c>
    </row>
    <row r="21" spans="1:17" x14ac:dyDescent="0.3">
      <c r="A21" t="s">
        <v>61</v>
      </c>
      <c r="B21" t="s">
        <v>48</v>
      </c>
      <c r="C21" t="s">
        <v>10</v>
      </c>
      <c r="D21" s="2">
        <v>45968</v>
      </c>
      <c r="E21" t="s">
        <v>11</v>
      </c>
      <c r="F21" s="1">
        <v>-20</v>
      </c>
      <c r="G21" s="1">
        <v>165</v>
      </c>
      <c r="H21">
        <f>VLOOKUP(C21,regions!$A$1:$C$5,2,0)</f>
        <v>2</v>
      </c>
      <c r="I21" t="str">
        <f>VLOOKUP(C21,regions!$A$1:$C$5,3,0)</f>
        <v>Beni Sweif</v>
      </c>
      <c r="J21" t="str">
        <f>VLOOKUP(E21,products!$A$1:$E$5,2,0)</f>
        <v>R1</v>
      </c>
      <c r="K21" t="str">
        <f>VLOOKUP(E21,products!$A$1:$E$5,3,0)</f>
        <v>Rangier Line</v>
      </c>
      <c r="L21" t="str">
        <f>VLOOKUP(E21,products!$A$1:$E$5,4,0)</f>
        <v>Red Line</v>
      </c>
      <c r="M21" t="str">
        <f>VLOOKUP(E21,products!$A$1:$E$5,5,0)</f>
        <v>Re</v>
      </c>
      <c r="N21">
        <f t="shared" si="0"/>
        <v>-3300</v>
      </c>
      <c r="O21" t="str">
        <f t="shared" si="1"/>
        <v>نوفمبر</v>
      </c>
      <c r="P21">
        <f t="shared" si="2"/>
        <v>11</v>
      </c>
      <c r="Q21">
        <f t="shared" si="3"/>
        <v>7</v>
      </c>
    </row>
    <row r="22" spans="1:17" x14ac:dyDescent="0.3">
      <c r="A22" t="s">
        <v>58</v>
      </c>
      <c r="B22" t="s">
        <v>47</v>
      </c>
      <c r="C22" t="s">
        <v>13</v>
      </c>
      <c r="D22" s="2">
        <v>45974</v>
      </c>
      <c r="E22" t="s">
        <v>11</v>
      </c>
      <c r="F22" s="1">
        <v>400</v>
      </c>
      <c r="G22" s="1">
        <v>165</v>
      </c>
      <c r="H22">
        <f>VLOOKUP(C22,regions!$A$1:$C$5,2,0)</f>
        <v>5</v>
      </c>
      <c r="I22" t="str">
        <f>VLOOKUP(C22,regions!$A$1:$C$5,3,0)</f>
        <v>Menia (South)</v>
      </c>
      <c r="J22" t="str">
        <f>VLOOKUP(E22,products!$A$1:$E$5,2,0)</f>
        <v>R1</v>
      </c>
      <c r="K22" t="str">
        <f>VLOOKUP(E22,products!$A$1:$E$5,3,0)</f>
        <v>Rangier Line</v>
      </c>
      <c r="L22" t="str">
        <f>VLOOKUP(E22,products!$A$1:$E$5,4,0)</f>
        <v>Red Line</v>
      </c>
      <c r="M22" t="str">
        <f>VLOOKUP(E22,products!$A$1:$E$5,5,0)</f>
        <v>Re</v>
      </c>
      <c r="N22">
        <f t="shared" si="0"/>
        <v>66000</v>
      </c>
      <c r="O22" t="str">
        <f t="shared" si="1"/>
        <v>نوفمبر</v>
      </c>
      <c r="P22">
        <f t="shared" si="2"/>
        <v>11</v>
      </c>
      <c r="Q22">
        <f t="shared" si="3"/>
        <v>13</v>
      </c>
    </row>
    <row r="23" spans="1:17" x14ac:dyDescent="0.3">
      <c r="A23" t="s">
        <v>60</v>
      </c>
      <c r="B23" t="s">
        <v>9</v>
      </c>
      <c r="C23" t="s">
        <v>10</v>
      </c>
      <c r="D23" s="2">
        <v>45968</v>
      </c>
      <c r="E23" t="s">
        <v>11</v>
      </c>
      <c r="F23" s="1">
        <v>444</v>
      </c>
      <c r="G23" s="1">
        <v>165</v>
      </c>
      <c r="H23">
        <f>VLOOKUP(C23,regions!$A$1:$C$5,2,0)</f>
        <v>2</v>
      </c>
      <c r="I23" t="str">
        <f>VLOOKUP(C23,regions!$A$1:$C$5,3,0)</f>
        <v>Beni Sweif</v>
      </c>
      <c r="J23" t="str">
        <f>VLOOKUP(E23,products!$A$1:$E$5,2,0)</f>
        <v>R1</v>
      </c>
      <c r="K23" t="str">
        <f>VLOOKUP(E23,products!$A$1:$E$5,3,0)</f>
        <v>Rangier Line</v>
      </c>
      <c r="L23" t="str">
        <f>VLOOKUP(E23,products!$A$1:$E$5,4,0)</f>
        <v>Red Line</v>
      </c>
      <c r="M23" t="str">
        <f>VLOOKUP(E23,products!$A$1:$E$5,5,0)</f>
        <v>Re</v>
      </c>
      <c r="N23">
        <f t="shared" si="0"/>
        <v>73260</v>
      </c>
      <c r="O23" t="str">
        <f t="shared" si="1"/>
        <v>نوفمبر</v>
      </c>
      <c r="P23">
        <f t="shared" si="2"/>
        <v>11</v>
      </c>
      <c r="Q23">
        <f t="shared" si="3"/>
        <v>7</v>
      </c>
    </row>
    <row r="24" spans="1:17" x14ac:dyDescent="0.3">
      <c r="A24" t="s">
        <v>62</v>
      </c>
      <c r="B24" t="s">
        <v>15</v>
      </c>
      <c r="C24" t="s">
        <v>16</v>
      </c>
      <c r="D24" s="2">
        <v>45976</v>
      </c>
      <c r="E24" t="s">
        <v>17</v>
      </c>
      <c r="F24" s="1">
        <v>-25</v>
      </c>
      <c r="G24" s="1">
        <v>90</v>
      </c>
      <c r="H24">
        <f>VLOOKUP(C24,regions!$A$1:$C$5,2,0)</f>
        <v>6</v>
      </c>
      <c r="I24" t="str">
        <f>VLOOKUP(C24,regions!$A$1:$C$5,3,0)</f>
        <v>Menia (North)</v>
      </c>
      <c r="J24" t="str">
        <f>VLOOKUP(E24,products!$A$1:$E$5,2,0)</f>
        <v>W6</v>
      </c>
      <c r="K24" t="str">
        <f>VLOOKUP(E24,products!$A$1:$E$5,3,0)</f>
        <v>Nexatic Sachets</v>
      </c>
      <c r="L24" t="str">
        <f>VLOOKUP(E24,products!$A$1:$E$5,4,0)</f>
        <v>White Line</v>
      </c>
      <c r="M24" t="str">
        <f>VLOOKUP(E24,products!$A$1:$E$5,5,0)</f>
        <v>Wh</v>
      </c>
      <c r="N24">
        <f t="shared" si="0"/>
        <v>-2250</v>
      </c>
      <c r="O24" t="str">
        <f t="shared" si="1"/>
        <v>نوفمبر</v>
      </c>
      <c r="P24">
        <f t="shared" si="2"/>
        <v>11</v>
      </c>
      <c r="Q24">
        <f t="shared" si="3"/>
        <v>15</v>
      </c>
    </row>
    <row r="25" spans="1:17" x14ac:dyDescent="0.3">
      <c r="A25" t="s">
        <v>63</v>
      </c>
      <c r="B25" t="s">
        <v>46</v>
      </c>
      <c r="C25" t="s">
        <v>10</v>
      </c>
      <c r="D25" s="2">
        <v>45965</v>
      </c>
      <c r="E25" t="s">
        <v>17</v>
      </c>
      <c r="F25" s="1">
        <v>0</v>
      </c>
      <c r="G25" s="1">
        <v>90</v>
      </c>
      <c r="H25">
        <f>VLOOKUP(C25,regions!$A$1:$C$5,2,0)</f>
        <v>2</v>
      </c>
      <c r="I25" t="str">
        <f>VLOOKUP(C25,regions!$A$1:$C$5,3,0)</f>
        <v>Beni Sweif</v>
      </c>
      <c r="J25" t="str">
        <f>VLOOKUP(E25,products!$A$1:$E$5,2,0)</f>
        <v>W6</v>
      </c>
      <c r="K25" t="str">
        <f>VLOOKUP(E25,products!$A$1:$E$5,3,0)</f>
        <v>Nexatic Sachets</v>
      </c>
      <c r="L25" t="str">
        <f>VLOOKUP(E25,products!$A$1:$E$5,4,0)</f>
        <v>White Line</v>
      </c>
      <c r="M25" t="str">
        <f>VLOOKUP(E25,products!$A$1:$E$5,5,0)</f>
        <v>Wh</v>
      </c>
      <c r="N25">
        <f t="shared" si="0"/>
        <v>0</v>
      </c>
      <c r="O25" t="str">
        <f t="shared" si="1"/>
        <v>نوفمبر</v>
      </c>
      <c r="P25">
        <f t="shared" si="2"/>
        <v>11</v>
      </c>
      <c r="Q25">
        <f t="shared" si="3"/>
        <v>4</v>
      </c>
    </row>
    <row r="26" spans="1:17" x14ac:dyDescent="0.3">
      <c r="A26" t="s">
        <v>62</v>
      </c>
      <c r="B26" t="s">
        <v>15</v>
      </c>
      <c r="C26" t="s">
        <v>16</v>
      </c>
      <c r="D26" s="2">
        <v>45976</v>
      </c>
      <c r="E26" t="s">
        <v>17</v>
      </c>
      <c r="F26" s="1">
        <v>44</v>
      </c>
      <c r="G26" s="1">
        <v>90</v>
      </c>
      <c r="H26">
        <f>VLOOKUP(C26,regions!$A$1:$C$5,2,0)</f>
        <v>6</v>
      </c>
      <c r="I26" t="str">
        <f>VLOOKUP(C26,regions!$A$1:$C$5,3,0)</f>
        <v>Menia (North)</v>
      </c>
      <c r="J26" t="str">
        <f>VLOOKUP(E26,products!$A$1:$E$5,2,0)</f>
        <v>W6</v>
      </c>
      <c r="K26" t="str">
        <f>VLOOKUP(E26,products!$A$1:$E$5,3,0)</f>
        <v>Nexatic Sachets</v>
      </c>
      <c r="L26" t="str">
        <f>VLOOKUP(E26,products!$A$1:$E$5,4,0)</f>
        <v>White Line</v>
      </c>
      <c r="M26" t="str">
        <f>VLOOKUP(E26,products!$A$1:$E$5,5,0)</f>
        <v>Wh</v>
      </c>
      <c r="N26">
        <f t="shared" si="0"/>
        <v>3960</v>
      </c>
      <c r="O26" t="str">
        <f t="shared" si="1"/>
        <v>نوفمبر</v>
      </c>
      <c r="P26">
        <f t="shared" si="2"/>
        <v>11</v>
      </c>
      <c r="Q26">
        <f t="shared" si="3"/>
        <v>15</v>
      </c>
    </row>
    <row r="27" spans="1:17" x14ac:dyDescent="0.3">
      <c r="A27" t="s">
        <v>63</v>
      </c>
      <c r="B27" t="s">
        <v>46</v>
      </c>
      <c r="C27" t="s">
        <v>10</v>
      </c>
      <c r="D27" s="2">
        <v>45965</v>
      </c>
      <c r="E27" t="s">
        <v>17</v>
      </c>
      <c r="F27" s="1">
        <v>21</v>
      </c>
      <c r="G27" s="1">
        <v>90</v>
      </c>
      <c r="H27">
        <f>VLOOKUP(C27,regions!$A$1:$C$5,2,0)</f>
        <v>2</v>
      </c>
      <c r="I27" t="str">
        <f>VLOOKUP(C27,regions!$A$1:$C$5,3,0)</f>
        <v>Beni Sweif</v>
      </c>
      <c r="J27" t="str">
        <f>VLOOKUP(E27,products!$A$1:$E$5,2,0)</f>
        <v>W6</v>
      </c>
      <c r="K27" t="str">
        <f>VLOOKUP(E27,products!$A$1:$E$5,3,0)</f>
        <v>Nexatic Sachets</v>
      </c>
      <c r="L27" t="str">
        <f>VLOOKUP(E27,products!$A$1:$E$5,4,0)</f>
        <v>White Line</v>
      </c>
      <c r="M27" t="str">
        <f>VLOOKUP(E27,products!$A$1:$E$5,5,0)</f>
        <v>Wh</v>
      </c>
      <c r="N27">
        <f t="shared" si="0"/>
        <v>1890</v>
      </c>
      <c r="O27" t="str">
        <f t="shared" si="1"/>
        <v>نوفمبر</v>
      </c>
      <c r="P27">
        <f t="shared" si="2"/>
        <v>11</v>
      </c>
      <c r="Q27">
        <f t="shared" si="3"/>
        <v>4</v>
      </c>
    </row>
    <row r="28" spans="1:17" x14ac:dyDescent="0.3">
      <c r="A28" t="s">
        <v>64</v>
      </c>
      <c r="B28" t="s">
        <v>50</v>
      </c>
      <c r="C28" t="s">
        <v>16</v>
      </c>
      <c r="D28" s="2">
        <v>45976</v>
      </c>
      <c r="E28" t="s">
        <v>17</v>
      </c>
      <c r="F28" s="1">
        <v>-25</v>
      </c>
      <c r="G28" s="1">
        <v>90</v>
      </c>
      <c r="H28">
        <f>VLOOKUP(C28,regions!$A$1:$C$5,2,0)</f>
        <v>6</v>
      </c>
      <c r="I28" t="str">
        <f>VLOOKUP(C28,regions!$A$1:$C$5,3,0)</f>
        <v>Menia (North)</v>
      </c>
      <c r="J28" t="str">
        <f>VLOOKUP(E28,products!$A$1:$E$5,2,0)</f>
        <v>W6</v>
      </c>
      <c r="K28" t="str">
        <f>VLOOKUP(E28,products!$A$1:$E$5,3,0)</f>
        <v>Nexatic Sachets</v>
      </c>
      <c r="L28" t="str">
        <f>VLOOKUP(E28,products!$A$1:$E$5,4,0)</f>
        <v>White Line</v>
      </c>
      <c r="M28" t="str">
        <f>VLOOKUP(E28,products!$A$1:$E$5,5,0)</f>
        <v>Wh</v>
      </c>
      <c r="N28">
        <f t="shared" si="0"/>
        <v>-2250</v>
      </c>
      <c r="O28" t="str">
        <f t="shared" si="1"/>
        <v>نوفمبر</v>
      </c>
      <c r="P28">
        <f t="shared" si="2"/>
        <v>11</v>
      </c>
      <c r="Q28">
        <f t="shared" si="3"/>
        <v>15</v>
      </c>
    </row>
    <row r="29" spans="1:17" x14ac:dyDescent="0.3">
      <c r="A29" t="s">
        <v>63</v>
      </c>
      <c r="B29" t="s">
        <v>46</v>
      </c>
      <c r="C29" t="s">
        <v>10</v>
      </c>
      <c r="D29" s="2">
        <v>45965</v>
      </c>
      <c r="E29" t="s">
        <v>17</v>
      </c>
      <c r="F29" s="1">
        <v>12</v>
      </c>
      <c r="G29" s="1">
        <v>90</v>
      </c>
      <c r="H29">
        <f>VLOOKUP(C29,regions!$A$1:$C$5,2,0)</f>
        <v>2</v>
      </c>
      <c r="I29" t="str">
        <f>VLOOKUP(C29,regions!$A$1:$C$5,3,0)</f>
        <v>Beni Sweif</v>
      </c>
      <c r="J29" t="str">
        <f>VLOOKUP(E29,products!$A$1:$E$5,2,0)</f>
        <v>W6</v>
      </c>
      <c r="K29" t="str">
        <f>VLOOKUP(E29,products!$A$1:$E$5,3,0)</f>
        <v>Nexatic Sachets</v>
      </c>
      <c r="L29" t="str">
        <f>VLOOKUP(E29,products!$A$1:$E$5,4,0)</f>
        <v>White Line</v>
      </c>
      <c r="M29" t="str">
        <f>VLOOKUP(E29,products!$A$1:$E$5,5,0)</f>
        <v>Wh</v>
      </c>
      <c r="N29">
        <f t="shared" si="0"/>
        <v>1080</v>
      </c>
      <c r="O29" t="str">
        <f t="shared" si="1"/>
        <v>نوفمبر</v>
      </c>
      <c r="P29">
        <f t="shared" si="2"/>
        <v>11</v>
      </c>
      <c r="Q29">
        <f t="shared" si="3"/>
        <v>4</v>
      </c>
    </row>
    <row r="30" spans="1:17" x14ac:dyDescent="0.3">
      <c r="A30" t="s">
        <v>62</v>
      </c>
      <c r="B30" t="s">
        <v>15</v>
      </c>
      <c r="C30" t="s">
        <v>16</v>
      </c>
      <c r="D30" s="2">
        <v>45976</v>
      </c>
      <c r="E30" t="s">
        <v>17</v>
      </c>
      <c r="F30" s="1">
        <v>100</v>
      </c>
      <c r="G30" s="1">
        <v>90</v>
      </c>
      <c r="H30">
        <f>VLOOKUP(C30,regions!$A$1:$C$5,2,0)</f>
        <v>6</v>
      </c>
      <c r="I30" t="str">
        <f>VLOOKUP(C30,regions!$A$1:$C$5,3,0)</f>
        <v>Menia (North)</v>
      </c>
      <c r="J30" t="str">
        <f>VLOOKUP(E30,products!$A$1:$E$5,2,0)</f>
        <v>W6</v>
      </c>
      <c r="K30" t="str">
        <f>VLOOKUP(E30,products!$A$1:$E$5,3,0)</f>
        <v>Nexatic Sachets</v>
      </c>
      <c r="L30" t="str">
        <f>VLOOKUP(E30,products!$A$1:$E$5,4,0)</f>
        <v>White Line</v>
      </c>
      <c r="M30" t="str">
        <f>VLOOKUP(E30,products!$A$1:$E$5,5,0)</f>
        <v>Wh</v>
      </c>
      <c r="N30">
        <f t="shared" si="0"/>
        <v>9000</v>
      </c>
      <c r="O30" t="str">
        <f t="shared" si="1"/>
        <v>نوفمبر</v>
      </c>
      <c r="P30">
        <f t="shared" si="2"/>
        <v>11</v>
      </c>
      <c r="Q30">
        <f t="shared" si="3"/>
        <v>15</v>
      </c>
    </row>
  </sheetData>
  <autoFilter ref="A1:G3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18</v>
      </c>
      <c r="C1" t="s">
        <v>19</v>
      </c>
    </row>
    <row r="2" spans="1:3" x14ac:dyDescent="0.3">
      <c r="A2" t="s">
        <v>7</v>
      </c>
      <c r="B2">
        <v>1</v>
      </c>
      <c r="C2" t="s">
        <v>20</v>
      </c>
    </row>
    <row r="3" spans="1:3" x14ac:dyDescent="0.3">
      <c r="A3" t="s">
        <v>10</v>
      </c>
      <c r="B3">
        <v>2</v>
      </c>
      <c r="C3" t="s">
        <v>21</v>
      </c>
    </row>
    <row r="4" spans="1:3" x14ac:dyDescent="0.3">
      <c r="A4" t="s">
        <v>13</v>
      </c>
      <c r="B4">
        <v>5</v>
      </c>
      <c r="C4" t="s">
        <v>22</v>
      </c>
    </row>
    <row r="5" spans="1:3" x14ac:dyDescent="0.3">
      <c r="A5" t="s">
        <v>16</v>
      </c>
      <c r="B5">
        <v>6</v>
      </c>
      <c r="C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cols>
    <col min="1" max="1" width="12.6640625" bestFit="1" customWidth="1"/>
    <col min="3" max="3" width="14" bestFit="1" customWidth="1"/>
    <col min="4" max="4" width="9.6640625" bestFit="1" customWidth="1"/>
    <col min="5" max="5" width="6.77734375" bestFit="1" customWidth="1"/>
  </cols>
  <sheetData>
    <row r="1" spans="1:5" x14ac:dyDescent="0.3">
      <c r="A1" t="s">
        <v>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8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">
      <c r="A3" t="s">
        <v>11</v>
      </c>
      <c r="B3" t="s">
        <v>32</v>
      </c>
      <c r="C3" t="s">
        <v>33</v>
      </c>
      <c r="D3" t="s">
        <v>34</v>
      </c>
      <c r="E3" t="s">
        <v>35</v>
      </c>
    </row>
    <row r="4" spans="1:5" x14ac:dyDescent="0.3">
      <c r="A4" t="s">
        <v>14</v>
      </c>
      <c r="B4" t="s">
        <v>36</v>
      </c>
      <c r="C4" t="s">
        <v>37</v>
      </c>
      <c r="D4" t="s">
        <v>38</v>
      </c>
      <c r="E4" t="s">
        <v>39</v>
      </c>
    </row>
    <row r="5" spans="1:5" x14ac:dyDescent="0.3">
      <c r="A5" t="s">
        <v>17</v>
      </c>
      <c r="B5" t="s">
        <v>40</v>
      </c>
      <c r="C5" t="s">
        <v>41</v>
      </c>
      <c r="D5" t="s">
        <v>42</v>
      </c>
      <c r="E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</vt:lpstr>
      <vt:lpstr>regions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Hossam</cp:lastModifiedBy>
  <dcterms:created xsi:type="dcterms:W3CDTF">2025-12-01T17:15:14Z</dcterms:created>
  <dcterms:modified xsi:type="dcterms:W3CDTF">2025-12-03T21:41:13Z</dcterms:modified>
</cp:coreProperties>
</file>